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horben.hischke/Desktop/"/>
    </mc:Choice>
  </mc:AlternateContent>
  <xr:revisionPtr revIDLastSave="0" documentId="13_ncr:1_{57E405C6-2EEC-9745-98AA-8950627BB4A4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Kalkulation" sheetId="1" r:id="rId1"/>
    <sheet name="Zeitplan" sheetId="2" r:id="rId2"/>
    <sheet name="Trainer" sheetId="3" r:id="rId3"/>
    <sheet name="Date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B12" i="1"/>
  <c r="D11" i="1"/>
  <c r="B11" i="1"/>
  <c r="D23" i="1"/>
  <c r="D22" i="1"/>
  <c r="D9" i="1"/>
  <c r="B9" i="1"/>
  <c r="B18" i="1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K3" i="3"/>
  <c r="L3" i="3" s="1"/>
  <c r="I26" i="3"/>
  <c r="E36" i="1"/>
  <c r="G25" i="1"/>
  <c r="C40" i="1" s="1"/>
  <c r="D25" i="1"/>
  <c r="B40" i="1" s="1"/>
  <c r="G16" i="1"/>
  <c r="H15" i="1"/>
  <c r="G15" i="1"/>
  <c r="G14" i="1"/>
  <c r="H14" i="1"/>
  <c r="G13" i="1"/>
  <c r="H13" i="1"/>
  <c r="H12" i="1"/>
  <c r="H11" i="1"/>
  <c r="H10" i="1"/>
  <c r="G10" i="1"/>
  <c r="H9" i="1"/>
  <c r="G8" i="1"/>
  <c r="E18" i="1"/>
  <c r="G7" i="1"/>
  <c r="H6" i="1"/>
  <c r="G6" i="1"/>
  <c r="G12" i="1" l="1"/>
  <c r="D18" i="1"/>
  <c r="B41" i="1" s="1"/>
  <c r="B42" i="1" s="1"/>
  <c r="G11" i="1"/>
  <c r="G9" i="1"/>
  <c r="G18" i="1"/>
  <c r="L26" i="3"/>
  <c r="H8" i="1"/>
  <c r="H7" i="1" l="1"/>
  <c r="H18" i="1" s="1"/>
  <c r="C18" i="1"/>
  <c r="C41" i="1" s="1"/>
  <c r="C42" i="1" s="1"/>
</calcChain>
</file>

<file path=xl/sharedStrings.xml><?xml version="1.0" encoding="utf-8"?>
<sst xmlns="http://schemas.openxmlformats.org/spreadsheetml/2006/main" count="179" uniqueCount="112">
  <si>
    <t>Camp 1 &amp; Camp 2 · Plan- und Ist-Zahlen · Beträge in EUR</t>
  </si>
  <si>
    <t>UHRZEIT</t>
  </si>
  <si>
    <t>AUSGABEN</t>
  </si>
  <si>
    <t>Position</t>
  </si>
  <si>
    <t>Camp 1 geplant</t>
  </si>
  <si>
    <t>Camp 1 real</t>
  </si>
  <si>
    <t>Camp 2 geplant</t>
  </si>
  <si>
    <t>Camp 2 real</t>
  </si>
  <si>
    <t>Gesamt geplant</t>
  </si>
  <si>
    <t>Gesamt real</t>
  </si>
  <si>
    <t>Anmerkung</t>
  </si>
  <si>
    <t>Mannschaftszelte</t>
  </si>
  <si>
    <t>8:30 - 9:00</t>
  </si>
  <si>
    <t>Ankunft und Ausgabe T-Shirts</t>
  </si>
  <si>
    <t>Ankunft</t>
  </si>
  <si>
    <t>9:00 - 9:30</t>
  </si>
  <si>
    <t>Training</t>
  </si>
  <si>
    <t>9:30 - 10:00</t>
  </si>
  <si>
    <t>10:00 - 10:30</t>
  </si>
  <si>
    <t>10:30 -11:00</t>
  </si>
  <si>
    <t>11:00 - 11:30</t>
  </si>
  <si>
    <t>Obstpause</t>
  </si>
  <si>
    <t>11:30 -12:00</t>
  </si>
  <si>
    <t>12:00 - 12:30</t>
  </si>
  <si>
    <t>12:30 -13:00</t>
  </si>
  <si>
    <t>13:00 - 13:30</t>
  </si>
  <si>
    <t>Mittagessen und -pause</t>
  </si>
  <si>
    <t>Trainer</t>
  </si>
  <si>
    <t>13:30 - 14:00</t>
  </si>
  <si>
    <t>14:00 - 14:30</t>
  </si>
  <si>
    <t>Spielzeit</t>
  </si>
  <si>
    <t>14.30 - 15:00</t>
  </si>
  <si>
    <t>15:00 - 15:30</t>
  </si>
  <si>
    <t>Eispause</t>
  </si>
  <si>
    <t>15:30 - 16:00</t>
  </si>
  <si>
    <t>16:00 - 16:30</t>
  </si>
  <si>
    <t>Abholung</t>
  </si>
  <si>
    <t>16:30 - 17:00</t>
  </si>
  <si>
    <t>Grillen + Übernachtung</t>
  </si>
  <si>
    <t>Fahrtkosten-Zuschuss</t>
  </si>
  <si>
    <t>Catering</t>
  </si>
  <si>
    <t>T-Shirts</t>
  </si>
  <si>
    <t>Obstpausen</t>
  </si>
  <si>
    <t>Eis</t>
  </si>
  <si>
    <t>Eis-Oma</t>
  </si>
  <si>
    <t>Frühstück</t>
  </si>
  <si>
    <t>Divers</t>
  </si>
  <si>
    <t>Eveeno</t>
  </si>
  <si>
    <t>Summe</t>
  </si>
  <si>
    <t>EINNAHMEN</t>
  </si>
  <si>
    <t>Preis</t>
  </si>
  <si>
    <t>Anzahl geplant</t>
  </si>
  <si>
    <t>Betrag geplant</t>
  </si>
  <si>
    <t>Betrag real</t>
  </si>
  <si>
    <t>Camp 1</t>
  </si>
  <si>
    <t>Camp 2</t>
  </si>
  <si>
    <t>Getränke- und Eisverkauf Do</t>
  </si>
  <si>
    <t>BELEGE / QUITTUNGEN</t>
  </si>
  <si>
    <t>Nr.</t>
  </si>
  <si>
    <t>Datum</t>
  </si>
  <si>
    <t>Anbieter</t>
  </si>
  <si>
    <t>Kategorie</t>
  </si>
  <si>
    <t>Betrag</t>
  </si>
  <si>
    <t>Name, Vorname</t>
  </si>
  <si>
    <t>Mo</t>
  </si>
  <si>
    <t>Di</t>
  </si>
  <si>
    <t>Mi</t>
  </si>
  <si>
    <t>Do</t>
  </si>
  <si>
    <t>Fr</t>
  </si>
  <si>
    <t>Bonus</t>
  </si>
  <si>
    <t>Std insg.</t>
  </si>
  <si>
    <t>Qualifikation</t>
  </si>
  <si>
    <t>€/Stunde</t>
  </si>
  <si>
    <t>Auszahlungsbetrag</t>
  </si>
  <si>
    <t>ZUSAMMENFASSUNG</t>
  </si>
  <si>
    <t>geplant</t>
  </si>
  <si>
    <t>real</t>
  </si>
  <si>
    <t>Einnahmen</t>
  </si>
  <si>
    <t>Ausgaben</t>
  </si>
  <si>
    <t>Differenz</t>
  </si>
  <si>
    <t>Sportl. Leitung</t>
  </si>
  <si>
    <t>U-Einteilung</t>
  </si>
  <si>
    <t>U6</t>
  </si>
  <si>
    <t>U8</t>
  </si>
  <si>
    <t>U10</t>
  </si>
  <si>
    <t>U12</t>
  </si>
  <si>
    <t>U14</t>
  </si>
  <si>
    <t>U16</t>
  </si>
  <si>
    <t>Trainervergütung</t>
  </si>
  <si>
    <t>ohne Ausbildung</t>
  </si>
  <si>
    <t>TEILNEHMER &amp; TRAINER</t>
  </si>
  <si>
    <t>Teilnehmer geplant</t>
  </si>
  <si>
    <t>Teilnehmer real</t>
  </si>
  <si>
    <t>Trainer geplant</t>
  </si>
  <si>
    <t>Trainer real</t>
  </si>
  <si>
    <t>SportAss</t>
  </si>
  <si>
    <t>C-Trainer</t>
  </si>
  <si>
    <t>PREISE (pro Person)</t>
  </si>
  <si>
    <t>Mittagessen</t>
  </si>
  <si>
    <t>Obst</t>
  </si>
  <si>
    <t>Freitag</t>
  </si>
  <si>
    <t>Gesamt:</t>
  </si>
  <si>
    <t>Montag</t>
  </si>
  <si>
    <t>Dienstag</t>
  </si>
  <si>
    <t>Mittwoch</t>
  </si>
  <si>
    <t>Donnerstag</t>
  </si>
  <si>
    <t>HOCKEYCAMP</t>
  </si>
  <si>
    <t>KTV Hockeycamp – Budgetübersicht</t>
  </si>
  <si>
    <t>10 Portionen mehr bestellen</t>
  </si>
  <si>
    <t>Camp 1 hat 4 Eispausen, am Freitag kommt der Eiswagen!</t>
  </si>
  <si>
    <t>Anmelde-Plattform</t>
  </si>
  <si>
    <t>3 Zelte für 2 Wochen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</si>
</sst>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,\ dd\.mm\."/>
    <numFmt numFmtId="165" formatCode="#,##0.00\ [$€-1]"/>
    <numFmt numFmtId="166" formatCode="#,##0.00&quot;€&quot;"/>
    <numFmt numFmtId="167" formatCode="dd\.mm\.yy"/>
  </numFmts>
  <fonts count="27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24"/>
      <color rgb="FFFFFFFF"/>
      <name val="Calibri"/>
      <family val="2"/>
    </font>
    <font>
      <sz val="9"/>
      <color rgb="FF666666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rgb="FFFFFFFF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1B5E20"/>
      <name val="Arial"/>
      <family val="2"/>
    </font>
    <font>
      <b/>
      <sz val="11"/>
      <color rgb="FF000000"/>
      <name val="Arial"/>
      <family val="2"/>
    </font>
    <font>
      <sz val="10"/>
      <color rgb="FF666666"/>
      <name val="Arial"/>
      <family val="2"/>
    </font>
    <font>
      <sz val="9"/>
      <color rgb="FF000000"/>
      <name val="&quot;Google Sans Mono&quot;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&quot;Google Sans Mono&quot;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Google Sans Mono"/>
    </font>
    <font>
      <b/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595959"/>
        <bgColor rgb="FF595959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165" fontId="9" fillId="0" borderId="3" xfId="0" applyNumberFormat="1" applyFont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166" fontId="9" fillId="0" borderId="3" xfId="0" applyNumberFormat="1" applyFont="1" applyBorder="1" applyAlignment="1">
      <alignment horizontal="right"/>
    </xf>
    <xf numFmtId="0" fontId="11" fillId="8" borderId="0" xfId="0" applyFont="1" applyFill="1" applyAlignment="1">
      <alignment horizontal="center"/>
    </xf>
    <xf numFmtId="0" fontId="3" fillId="0" borderId="3" xfId="0" applyFont="1" applyBorder="1" applyAlignment="1">
      <alignment horizontal="left"/>
    </xf>
    <xf numFmtId="0" fontId="11" fillId="9" borderId="0" xfId="0" applyFont="1" applyFill="1" applyAlignment="1">
      <alignment horizontal="center"/>
    </xf>
    <xf numFmtId="0" fontId="9" fillId="0" borderId="3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8" fillId="10" borderId="3" xfId="0" applyFont="1" applyFill="1" applyBorder="1" applyAlignment="1">
      <alignment horizontal="left"/>
    </xf>
    <xf numFmtId="165" fontId="8" fillId="10" borderId="3" xfId="0" applyNumberFormat="1" applyFont="1" applyFill="1" applyBorder="1" applyAlignment="1">
      <alignment horizontal="right"/>
    </xf>
    <xf numFmtId="166" fontId="8" fillId="10" borderId="3" xfId="0" applyNumberFormat="1" applyFont="1" applyFill="1" applyBorder="1" applyAlignment="1">
      <alignment horizontal="right"/>
    </xf>
    <xf numFmtId="0" fontId="9" fillId="10" borderId="3" xfId="0" applyFont="1" applyFill="1" applyBorder="1" applyAlignment="1">
      <alignment horizontal="left"/>
    </xf>
    <xf numFmtId="0" fontId="8" fillId="11" borderId="0" xfId="0" applyFont="1" applyFill="1" applyAlignment="1">
      <alignment horizontal="center"/>
    </xf>
    <xf numFmtId="0" fontId="9" fillId="0" borderId="3" xfId="0" applyFont="1" applyBorder="1" applyAlignment="1">
      <alignment horizontal="center"/>
    </xf>
    <xf numFmtId="0" fontId="8" fillId="5" borderId="0" xfId="0" applyFont="1" applyFill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center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7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  <xf numFmtId="0" fontId="13" fillId="0" borderId="0" xfId="0" applyFont="1" applyAlignment="1">
      <alignment horizontal="center"/>
    </xf>
    <xf numFmtId="0" fontId="9" fillId="12" borderId="4" xfId="0" applyFont="1" applyFill="1" applyBorder="1"/>
    <xf numFmtId="0" fontId="13" fillId="12" borderId="5" xfId="0" applyFont="1" applyFill="1" applyBorder="1" applyAlignment="1">
      <alignment horizontal="center"/>
    </xf>
    <xf numFmtId="166" fontId="8" fillId="10" borderId="0" xfId="0" applyNumberFormat="1" applyFont="1" applyFill="1" applyAlignment="1">
      <alignment horizontal="right"/>
    </xf>
    <xf numFmtId="0" fontId="5" fillId="12" borderId="2" xfId="0" applyFont="1" applyFill="1" applyBorder="1" applyAlignment="1">
      <alignment horizontal="center"/>
    </xf>
    <xf numFmtId="0" fontId="14" fillId="0" borderId="6" xfId="0" applyFont="1" applyBorder="1"/>
    <xf numFmtId="0" fontId="9" fillId="5" borderId="3" xfId="0" applyFont="1" applyFill="1" applyBorder="1" applyAlignment="1">
      <alignment horizontal="left"/>
    </xf>
    <xf numFmtId="0" fontId="14" fillId="0" borderId="6" xfId="0" applyFont="1" applyBorder="1" applyAlignment="1">
      <alignment horizontal="center"/>
    </xf>
    <xf numFmtId="166" fontId="15" fillId="10" borderId="3" xfId="0" applyNumberFormat="1" applyFont="1" applyFill="1" applyBorder="1" applyAlignment="1">
      <alignment horizontal="right"/>
    </xf>
    <xf numFmtId="0" fontId="16" fillId="0" borderId="0" xfId="0" applyFont="1"/>
    <xf numFmtId="0" fontId="9" fillId="0" borderId="0" xfId="0" applyFont="1" applyAlignment="1">
      <alignment horizontal="right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right"/>
    </xf>
    <xf numFmtId="0" fontId="14" fillId="0" borderId="0" xfId="0" applyFont="1"/>
    <xf numFmtId="166" fontId="18" fillId="0" borderId="6" xfId="0" applyNumberFormat="1" applyFont="1" applyBorder="1" applyAlignment="1">
      <alignment horizontal="center"/>
    </xf>
    <xf numFmtId="0" fontId="8" fillId="11" borderId="0" xfId="0" applyFont="1" applyFill="1" applyAlignment="1">
      <alignment horizontal="left"/>
    </xf>
    <xf numFmtId="166" fontId="14" fillId="0" borderId="0" xfId="0" applyNumberFormat="1" applyFont="1" applyAlignment="1">
      <alignment horizontal="right"/>
    </xf>
    <xf numFmtId="166" fontId="14" fillId="0" borderId="6" xfId="0" applyNumberFormat="1" applyFont="1" applyBorder="1" applyAlignment="1">
      <alignment horizontal="right"/>
    </xf>
    <xf numFmtId="0" fontId="9" fillId="11" borderId="0" xfId="0" applyFont="1" applyFill="1"/>
    <xf numFmtId="0" fontId="9" fillId="0" borderId="0" xfId="0" applyFont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14" fillId="11" borderId="6" xfId="0" applyFont="1" applyFill="1" applyBorder="1"/>
    <xf numFmtId="0" fontId="8" fillId="10" borderId="0" xfId="0" applyFont="1" applyFill="1" applyAlignment="1">
      <alignment horizontal="center"/>
    </xf>
    <xf numFmtId="0" fontId="19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166" fontId="21" fillId="0" borderId="6" xfId="0" applyNumberFormat="1" applyFont="1" applyBorder="1" applyAlignment="1">
      <alignment horizontal="center"/>
    </xf>
    <xf numFmtId="166" fontId="20" fillId="0" borderId="6" xfId="0" applyNumberFormat="1" applyFont="1" applyBorder="1" applyAlignment="1">
      <alignment horizontal="right"/>
    </xf>
    <xf numFmtId="0" fontId="22" fillId="0" borderId="6" xfId="0" applyFont="1" applyBorder="1" applyAlignment="1">
      <alignment horizontal="left"/>
    </xf>
    <xf numFmtId="0" fontId="23" fillId="0" borderId="0" xfId="0" applyFont="1"/>
    <xf numFmtId="0" fontId="12" fillId="0" borderId="4" xfId="0" applyFont="1" applyBorder="1"/>
    <xf numFmtId="0" fontId="24" fillId="12" borderId="2" xfId="0" applyFont="1" applyFill="1" applyBorder="1" applyAlignment="1">
      <alignment horizontal="center"/>
    </xf>
    <xf numFmtId="0" fontId="20" fillId="11" borderId="6" xfId="0" applyFont="1" applyFill="1" applyBorder="1"/>
    <xf numFmtId="166" fontId="25" fillId="0" borderId="6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6" fillId="0" borderId="2" xfId="0" applyFont="1" applyBorder="1"/>
    <xf numFmtId="166" fontId="26" fillId="0" borderId="6" xfId="0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/>
    </xf>
    <xf numFmtId="0" fontId="7" fillId="4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/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5"/>
  <sheetViews>
    <sheetView tabSelected="1" workbookViewId="0">
      <selection activeCell="B7" sqref="B7"/>
    </sheetView>
  </sheetViews>
  <sheetFormatPr baseColWidth="10" defaultColWidth="12.6640625" defaultRowHeight="15.75" customHeight="1"/>
  <cols>
    <col min="1" max="1" width="32.33203125" customWidth="1"/>
    <col min="2" max="2" width="16.6640625" customWidth="1"/>
    <col min="3" max="3" width="22.6640625" customWidth="1"/>
    <col min="4" max="4" width="13.33203125" customWidth="1"/>
    <col min="5" max="5" width="10.5" customWidth="1"/>
    <col min="6" max="6" width="2.83203125" customWidth="1"/>
    <col min="9" max="9" width="43.1640625" customWidth="1"/>
  </cols>
  <sheetData>
    <row r="1" spans="1:9" ht="20">
      <c r="A1" s="73" t="s">
        <v>107</v>
      </c>
      <c r="B1" s="72"/>
      <c r="C1" s="72"/>
      <c r="D1" s="72"/>
      <c r="E1" s="72"/>
      <c r="F1" s="72"/>
      <c r="G1" s="72"/>
      <c r="H1" s="72"/>
      <c r="I1" s="72"/>
    </row>
    <row r="2" spans="1:9" ht="15.75" customHeight="1">
      <c r="A2" s="74" t="s">
        <v>0</v>
      </c>
      <c r="B2" s="72"/>
      <c r="C2" s="72"/>
      <c r="D2" s="72"/>
      <c r="E2" s="72"/>
      <c r="F2" s="72"/>
      <c r="G2" s="72"/>
      <c r="H2" s="72"/>
      <c r="I2" s="72"/>
    </row>
    <row r="3" spans="1:9" ht="15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71" t="s">
        <v>2</v>
      </c>
      <c r="B4" s="72"/>
      <c r="C4" s="72"/>
      <c r="D4" s="72"/>
      <c r="E4" s="72"/>
      <c r="F4" s="72"/>
      <c r="G4" s="72"/>
      <c r="H4" s="72"/>
      <c r="I4" s="72"/>
    </row>
    <row r="5" spans="1:9" ht="15.75" customHeight="1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/>
      <c r="G5" s="5" t="s">
        <v>8</v>
      </c>
      <c r="H5" s="5" t="s">
        <v>9</v>
      </c>
      <c r="I5" s="5" t="s">
        <v>10</v>
      </c>
    </row>
    <row r="6" spans="1:9" ht="15.75" customHeight="1">
      <c r="A6" s="7" t="s">
        <v>11</v>
      </c>
      <c r="B6" s="8">
        <v>84</v>
      </c>
      <c r="C6" s="8"/>
      <c r="D6" s="8">
        <v>84</v>
      </c>
      <c r="E6" s="11"/>
      <c r="F6" s="11"/>
      <c r="G6" s="11">
        <f t="shared" ref="G6:H6" si="0">B6+D6</f>
        <v>168</v>
      </c>
      <c r="H6" s="70">
        <f t="shared" si="0"/>
        <v>0</v>
      </c>
      <c r="I6" s="13" t="s">
        <v>111</v>
      </c>
    </row>
    <row r="7" spans="1:9" ht="15.75" customHeight="1">
      <c r="A7" s="7" t="s">
        <v>27</v>
      </c>
      <c r="B7" s="8">
        <v>4200</v>
      </c>
      <c r="C7" s="8"/>
      <c r="D7" s="8">
        <v>1500</v>
      </c>
      <c r="E7" s="8"/>
      <c r="F7" s="15"/>
      <c r="G7" s="11">
        <f t="shared" ref="G7:H7" si="1">B7+D7</f>
        <v>5700</v>
      </c>
      <c r="H7" s="70">
        <f t="shared" si="1"/>
        <v>0</v>
      </c>
      <c r="I7" s="13"/>
    </row>
    <row r="8" spans="1:9" ht="15.75" customHeight="1">
      <c r="A8" s="7" t="s">
        <v>39</v>
      </c>
      <c r="B8" s="8"/>
      <c r="C8" s="8"/>
      <c r="D8" s="8">
        <v>250</v>
      </c>
      <c r="E8" s="8"/>
      <c r="F8" s="15"/>
      <c r="G8" s="11">
        <f t="shared" ref="G8:H8" si="2">B8+D8</f>
        <v>250</v>
      </c>
      <c r="H8" s="70">
        <f t="shared" si="2"/>
        <v>0</v>
      </c>
      <c r="I8" s="13"/>
    </row>
    <row r="9" spans="1:9" ht="15.75" customHeight="1">
      <c r="A9" s="7" t="s">
        <v>40</v>
      </c>
      <c r="B9" s="8">
        <f>(B47+D47+10)*5*B53</f>
        <v>2583</v>
      </c>
      <c r="C9" s="8"/>
      <c r="D9" s="8">
        <f>(B48+D48+10)*3*B53</f>
        <v>723.24</v>
      </c>
      <c r="E9" s="11"/>
      <c r="F9" s="15"/>
      <c r="G9" s="11">
        <f t="shared" ref="G9:H9" si="3">B9+D9</f>
        <v>3306.24</v>
      </c>
      <c r="H9" s="70">
        <f t="shared" si="3"/>
        <v>0</v>
      </c>
      <c r="I9" s="13" t="s">
        <v>108</v>
      </c>
    </row>
    <row r="10" spans="1:9" ht="15.75" customHeight="1">
      <c r="A10" s="7" t="s">
        <v>41</v>
      </c>
      <c r="B10" s="8">
        <v>1300</v>
      </c>
      <c r="C10" s="8"/>
      <c r="D10" s="8">
        <v>600</v>
      </c>
      <c r="E10" s="11"/>
      <c r="F10" s="11"/>
      <c r="G10" s="11">
        <f t="shared" ref="G10:H10" si="4">B10+D10</f>
        <v>1900</v>
      </c>
      <c r="H10" s="70">
        <f t="shared" si="4"/>
        <v>0</v>
      </c>
      <c r="I10" s="13"/>
    </row>
    <row r="11" spans="1:9" ht="15.75" customHeight="1">
      <c r="A11" s="7" t="s">
        <v>42</v>
      </c>
      <c r="B11" s="8">
        <f>(B47+D47)*5*B54</f>
        <v>475</v>
      </c>
      <c r="C11" s="8"/>
      <c r="D11" s="8">
        <f>(B48+D48)*3*B54</f>
        <v>117</v>
      </c>
      <c r="E11" s="8"/>
      <c r="F11" s="15"/>
      <c r="G11" s="11">
        <f t="shared" ref="G11:H11" si="5">B11+D11</f>
        <v>592</v>
      </c>
      <c r="H11" s="70">
        <f t="shared" si="5"/>
        <v>0</v>
      </c>
      <c r="I11" s="13"/>
    </row>
    <row r="12" spans="1:9" ht="15.75" customHeight="1">
      <c r="A12" s="7" t="s">
        <v>43</v>
      </c>
      <c r="B12" s="8">
        <f>(B47+D47)*4*B55</f>
        <v>570</v>
      </c>
      <c r="C12" s="8"/>
      <c r="D12" s="8">
        <f>(B48+D48)*3*B55</f>
        <v>175.5</v>
      </c>
      <c r="E12" s="15"/>
      <c r="F12" s="15"/>
      <c r="G12" s="11">
        <f t="shared" ref="G12:H12" si="6">B12+D12</f>
        <v>745.5</v>
      </c>
      <c r="H12" s="70">
        <f t="shared" si="6"/>
        <v>0</v>
      </c>
      <c r="I12" s="13" t="s">
        <v>109</v>
      </c>
    </row>
    <row r="13" spans="1:9" ht="15.75" customHeight="1">
      <c r="A13" s="7" t="s">
        <v>44</v>
      </c>
      <c r="B13" s="8">
        <v>400</v>
      </c>
      <c r="C13" s="8"/>
      <c r="D13" s="8"/>
      <c r="E13" s="15"/>
      <c r="F13" s="15"/>
      <c r="G13" s="11">
        <f t="shared" ref="G13:H13" si="7">B13+D13</f>
        <v>400</v>
      </c>
      <c r="H13" s="70">
        <f t="shared" si="7"/>
        <v>0</v>
      </c>
      <c r="I13" s="13"/>
    </row>
    <row r="14" spans="1:9" ht="15.75" customHeight="1">
      <c r="A14" s="7" t="s">
        <v>45</v>
      </c>
      <c r="B14" s="8">
        <v>150</v>
      </c>
      <c r="C14" s="8"/>
      <c r="D14" s="8"/>
      <c r="E14" s="15"/>
      <c r="F14" s="15"/>
      <c r="G14" s="11">
        <f t="shared" ref="G14:H14" si="8">B14+D14</f>
        <v>150</v>
      </c>
      <c r="H14" s="70">
        <f t="shared" si="8"/>
        <v>0</v>
      </c>
      <c r="I14" s="13"/>
    </row>
    <row r="15" spans="1:9" ht="15.75" customHeight="1">
      <c r="A15" s="7" t="s">
        <v>46</v>
      </c>
      <c r="B15" s="8">
        <v>150</v>
      </c>
      <c r="C15" s="8"/>
      <c r="D15" s="8"/>
      <c r="E15" s="15"/>
      <c r="F15" s="15"/>
      <c r="G15" s="11">
        <f t="shared" ref="G15:H15" si="9">B15+D15</f>
        <v>150</v>
      </c>
      <c r="H15" s="70">
        <f t="shared" si="9"/>
        <v>0</v>
      </c>
      <c r="I15" s="13"/>
    </row>
    <row r="16" spans="1:9" ht="15.75" customHeight="1">
      <c r="A16" s="7" t="s">
        <v>47</v>
      </c>
      <c r="B16" s="8">
        <v>200</v>
      </c>
      <c r="C16" s="8"/>
      <c r="D16" s="8"/>
      <c r="E16" s="15"/>
      <c r="F16" s="15"/>
      <c r="G16" s="11">
        <f>B16+D16</f>
        <v>200</v>
      </c>
      <c r="H16" s="70"/>
      <c r="I16" s="13" t="s">
        <v>110</v>
      </c>
    </row>
    <row r="17" spans="1:9" ht="15.75" customHeight="1">
      <c r="A17" s="16"/>
      <c r="B17" s="8"/>
      <c r="C17" s="8"/>
      <c r="D17" s="8"/>
      <c r="E17" s="15"/>
      <c r="F17" s="15"/>
      <c r="G17" s="11"/>
      <c r="H17" s="11"/>
      <c r="I17" s="13"/>
    </row>
    <row r="18" spans="1:9" ht="15.75" customHeight="1">
      <c r="A18" s="17" t="s">
        <v>48</v>
      </c>
      <c r="B18" s="18">
        <f t="shared" ref="B18:E18" si="10">SUM(B5:B17)</f>
        <v>10112</v>
      </c>
      <c r="C18" s="18">
        <f t="shared" si="10"/>
        <v>0</v>
      </c>
      <c r="D18" s="18">
        <f t="shared" si="10"/>
        <v>3449.74</v>
      </c>
      <c r="E18" s="19">
        <f t="shared" si="10"/>
        <v>0</v>
      </c>
      <c r="F18" s="19"/>
      <c r="G18" s="19">
        <f t="shared" ref="G18:H18" si="11">SUM(G5:G17)</f>
        <v>13561.74</v>
      </c>
      <c r="H18" s="19">
        <f t="shared" si="11"/>
        <v>0</v>
      </c>
      <c r="I18" s="20"/>
    </row>
    <row r="19" spans="1:9" ht="15">
      <c r="A19" s="1"/>
      <c r="B19" s="1"/>
      <c r="C19" s="1"/>
      <c r="D19" s="1"/>
      <c r="E19" s="1"/>
      <c r="F19" s="1"/>
      <c r="G19" s="1"/>
      <c r="H19" s="1"/>
      <c r="I19" s="1"/>
    </row>
    <row r="20" spans="1:9" ht="16">
      <c r="A20" s="71" t="s">
        <v>49</v>
      </c>
      <c r="B20" s="72"/>
      <c r="C20" s="72"/>
      <c r="D20" s="72"/>
      <c r="E20" s="72"/>
      <c r="F20" s="72"/>
      <c r="G20" s="72"/>
      <c r="H20" s="72"/>
      <c r="I20" s="72"/>
    </row>
    <row r="21" spans="1:9" ht="15.75" customHeight="1">
      <c r="A21" s="4" t="s">
        <v>3</v>
      </c>
      <c r="B21" s="5" t="s">
        <v>50</v>
      </c>
      <c r="C21" s="5" t="s">
        <v>51</v>
      </c>
      <c r="D21" s="5" t="s">
        <v>52</v>
      </c>
      <c r="E21" s="5"/>
      <c r="F21" s="5"/>
      <c r="G21" s="5" t="s">
        <v>53</v>
      </c>
      <c r="H21" s="21"/>
      <c r="I21" s="21"/>
    </row>
    <row r="22" spans="1:9" ht="15">
      <c r="A22" s="7" t="s">
        <v>54</v>
      </c>
      <c r="B22" s="11">
        <v>130</v>
      </c>
      <c r="C22" s="22"/>
      <c r="D22" s="11">
        <f>B47*B22</f>
        <v>9750</v>
      </c>
      <c r="E22" s="22"/>
      <c r="F22" s="22"/>
      <c r="G22" s="11"/>
      <c r="H22" s="1"/>
      <c r="I22" s="1"/>
    </row>
    <row r="23" spans="1:9" ht="15">
      <c r="A23" s="7" t="s">
        <v>55</v>
      </c>
      <c r="B23" s="11">
        <v>115</v>
      </c>
      <c r="C23" s="22"/>
      <c r="D23" s="11">
        <f>B48*B23</f>
        <v>4025</v>
      </c>
      <c r="E23" s="22"/>
      <c r="F23" s="22"/>
      <c r="G23" s="11"/>
      <c r="H23" s="1"/>
      <c r="I23" s="1"/>
    </row>
    <row r="24" spans="1:9" ht="15">
      <c r="A24" s="7" t="s">
        <v>56</v>
      </c>
      <c r="B24" s="15"/>
      <c r="C24" s="22"/>
      <c r="D24" s="11">
        <v>300</v>
      </c>
      <c r="E24" s="22"/>
      <c r="F24" s="22"/>
      <c r="G24" s="8"/>
      <c r="H24" s="1"/>
      <c r="I24" s="1"/>
    </row>
    <row r="25" spans="1:9" ht="15">
      <c r="A25" s="17" t="s">
        <v>48</v>
      </c>
      <c r="B25" s="20"/>
      <c r="C25" s="20"/>
      <c r="D25" s="19">
        <f>SUM(D22:D24)</f>
        <v>14075</v>
      </c>
      <c r="E25" s="19"/>
      <c r="F25" s="19"/>
      <c r="G25" s="19">
        <f>SUM(G22:G24)</f>
        <v>0</v>
      </c>
      <c r="H25" s="1"/>
      <c r="I25" s="1"/>
    </row>
    <row r="26" spans="1:9" ht="15">
      <c r="A26" s="1"/>
      <c r="B26" s="1"/>
      <c r="C26" s="1"/>
      <c r="D26" s="1"/>
      <c r="E26" s="1"/>
      <c r="F26" s="1"/>
      <c r="G26" s="1"/>
      <c r="H26" s="1"/>
      <c r="I26" s="1"/>
    </row>
    <row r="27" spans="1:9" ht="16">
      <c r="A27" s="71" t="s">
        <v>57</v>
      </c>
      <c r="B27" s="72"/>
      <c r="C27" s="72"/>
      <c r="D27" s="72"/>
      <c r="E27" s="72"/>
      <c r="F27" s="72"/>
      <c r="G27" s="72"/>
      <c r="H27" s="72"/>
      <c r="I27" s="72"/>
    </row>
    <row r="28" spans="1:9" ht="15.75" customHeight="1">
      <c r="A28" s="4" t="s">
        <v>58</v>
      </c>
      <c r="B28" s="5" t="s">
        <v>59</v>
      </c>
      <c r="C28" s="5" t="s">
        <v>60</v>
      </c>
      <c r="D28" s="5" t="s">
        <v>61</v>
      </c>
      <c r="E28" s="5" t="s">
        <v>62</v>
      </c>
      <c r="F28" s="23"/>
      <c r="G28" s="21"/>
      <c r="H28" s="21"/>
      <c r="I28" s="21"/>
    </row>
    <row r="29" spans="1:9" ht="15">
      <c r="A29" s="22">
        <v>1</v>
      </c>
      <c r="B29" s="24"/>
      <c r="C29" s="7"/>
      <c r="D29" s="7"/>
      <c r="E29" s="8"/>
      <c r="F29" s="25"/>
      <c r="G29" s="1"/>
      <c r="H29" s="1"/>
      <c r="I29" s="1"/>
    </row>
    <row r="30" spans="1:9" ht="15">
      <c r="A30" s="22">
        <v>2</v>
      </c>
      <c r="B30" s="24"/>
      <c r="C30" s="7"/>
      <c r="D30" s="7"/>
      <c r="E30" s="8"/>
      <c r="F30" s="25"/>
      <c r="G30" s="1"/>
      <c r="H30" s="1"/>
      <c r="I30" s="1"/>
    </row>
    <row r="31" spans="1:9" ht="15">
      <c r="A31" s="22">
        <v>3</v>
      </c>
      <c r="B31" s="26"/>
      <c r="C31" s="27"/>
      <c r="D31" s="27"/>
      <c r="E31" s="28"/>
      <c r="F31" s="29"/>
      <c r="G31" s="1"/>
      <c r="H31" s="1"/>
      <c r="I31" s="1"/>
    </row>
    <row r="32" spans="1:9" ht="15">
      <c r="A32" s="22">
        <v>4</v>
      </c>
      <c r="B32" s="30"/>
      <c r="C32" s="27"/>
      <c r="D32" s="27"/>
      <c r="E32" s="31"/>
      <c r="F32" s="32"/>
      <c r="G32" s="1"/>
      <c r="H32" s="1"/>
      <c r="I32" s="1"/>
    </row>
    <row r="33" spans="1:9" ht="15">
      <c r="A33" s="22">
        <v>5</v>
      </c>
      <c r="B33" s="30"/>
      <c r="C33" s="27"/>
      <c r="D33" s="27"/>
      <c r="E33" s="31"/>
      <c r="F33" s="32"/>
      <c r="G33" s="1"/>
      <c r="H33" s="1"/>
      <c r="I33" s="1"/>
    </row>
    <row r="34" spans="1:9" ht="15">
      <c r="A34" s="22">
        <v>6</v>
      </c>
      <c r="B34" s="30"/>
      <c r="C34" s="32"/>
      <c r="D34" s="32"/>
      <c r="E34" s="31"/>
      <c r="F34" s="32"/>
      <c r="G34" s="1"/>
      <c r="H34" s="1"/>
      <c r="I34" s="1"/>
    </row>
    <row r="35" spans="1:9" ht="15">
      <c r="A35" s="22"/>
      <c r="B35" s="22"/>
      <c r="C35" s="7"/>
      <c r="D35" s="7"/>
      <c r="E35" s="8"/>
      <c r="F35" s="32"/>
      <c r="G35" s="1"/>
      <c r="H35" s="1"/>
      <c r="I35" s="1"/>
    </row>
    <row r="36" spans="1:9" ht="15">
      <c r="A36" s="17" t="s">
        <v>48</v>
      </c>
      <c r="B36" s="20"/>
      <c r="C36" s="20"/>
      <c r="D36" s="20"/>
      <c r="E36" s="18">
        <f>SUM(E29:E35)</f>
        <v>0</v>
      </c>
      <c r="F36" s="37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6">
      <c r="A38" s="71" t="s">
        <v>74</v>
      </c>
      <c r="B38" s="72"/>
      <c r="C38" s="72"/>
      <c r="D38" s="72"/>
      <c r="E38" s="72"/>
      <c r="F38" s="72"/>
      <c r="G38" s="72"/>
      <c r="H38" s="72"/>
      <c r="I38" s="72"/>
    </row>
    <row r="39" spans="1:9" ht="15">
      <c r="A39" s="40"/>
      <c r="B39" s="5" t="s">
        <v>75</v>
      </c>
      <c r="C39" s="5" t="s">
        <v>76</v>
      </c>
      <c r="D39" s="1"/>
      <c r="E39" s="1"/>
      <c r="F39" s="1"/>
      <c r="G39" s="1"/>
      <c r="H39" s="1"/>
      <c r="I39" s="1"/>
    </row>
    <row r="40" spans="1:9" ht="15">
      <c r="A40" s="7" t="s">
        <v>77</v>
      </c>
      <c r="B40" s="11">
        <f>D25</f>
        <v>14075</v>
      </c>
      <c r="C40" s="11">
        <f>G25</f>
        <v>0</v>
      </c>
      <c r="D40" s="1"/>
      <c r="E40" s="1"/>
      <c r="F40" s="1"/>
      <c r="G40" s="1"/>
      <c r="H40" s="1"/>
      <c r="I40" s="1"/>
    </row>
    <row r="41" spans="1:9" ht="15">
      <c r="A41" s="7" t="s">
        <v>78</v>
      </c>
      <c r="B41" s="11">
        <f>B18+D18</f>
        <v>13561.74</v>
      </c>
      <c r="C41" s="11">
        <f>C18+E18</f>
        <v>0</v>
      </c>
      <c r="D41" s="1"/>
      <c r="E41" s="1"/>
      <c r="F41" s="1"/>
      <c r="G41" s="1"/>
      <c r="H41" s="1"/>
      <c r="I41" s="1"/>
    </row>
    <row r="42" spans="1:9" ht="15">
      <c r="A42" s="17" t="s">
        <v>79</v>
      </c>
      <c r="B42" s="42">
        <f t="shared" ref="B42:C42" si="12">B40-B41</f>
        <v>513.26000000000022</v>
      </c>
      <c r="C42" s="42">
        <f t="shared" si="12"/>
        <v>0</v>
      </c>
      <c r="D42" s="1"/>
      <c r="E42" s="1"/>
      <c r="F42" s="1"/>
      <c r="G42" s="1"/>
      <c r="H42" s="1"/>
      <c r="I42" s="1"/>
    </row>
    <row r="43" spans="1:9" ht="15">
      <c r="A43" s="45"/>
      <c r="B43" s="45"/>
      <c r="C43" s="46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6">
      <c r="A45" s="71" t="s">
        <v>90</v>
      </c>
      <c r="B45" s="72"/>
      <c r="C45" s="72"/>
      <c r="D45" s="72"/>
      <c r="E45" s="72"/>
      <c r="F45" s="72"/>
      <c r="G45" s="72"/>
      <c r="H45" s="72"/>
      <c r="I45" s="72"/>
    </row>
    <row r="46" spans="1:9" ht="15.75" customHeight="1">
      <c r="A46" s="49"/>
      <c r="B46" s="5" t="s">
        <v>91</v>
      </c>
      <c r="C46" s="5" t="s">
        <v>92</v>
      </c>
      <c r="D46" s="5" t="s">
        <v>93</v>
      </c>
      <c r="E46" s="5" t="s">
        <v>94</v>
      </c>
      <c r="F46" s="23"/>
      <c r="G46" s="21"/>
      <c r="H46" s="21"/>
      <c r="I46" s="21"/>
    </row>
    <row r="47" spans="1:9" ht="15">
      <c r="A47" s="7" t="s">
        <v>54</v>
      </c>
      <c r="B47" s="22">
        <v>75</v>
      </c>
      <c r="C47" s="22"/>
      <c r="D47" s="22">
        <v>20</v>
      </c>
      <c r="E47" s="22"/>
      <c r="F47" s="53"/>
      <c r="G47" s="1"/>
      <c r="H47" s="1"/>
      <c r="I47" s="1"/>
    </row>
    <row r="48" spans="1:9" ht="15">
      <c r="A48" s="7" t="s">
        <v>55</v>
      </c>
      <c r="B48" s="22">
        <v>35</v>
      </c>
      <c r="C48" s="22"/>
      <c r="D48" s="22">
        <v>4</v>
      </c>
      <c r="E48" s="22"/>
      <c r="F48" s="53"/>
      <c r="G48" s="1"/>
      <c r="H48" s="1"/>
      <c r="I48" s="1"/>
    </row>
    <row r="49" spans="1:9" ht="15">
      <c r="A49" s="17" t="s">
        <v>48</v>
      </c>
      <c r="B49" s="54">
        <v>109</v>
      </c>
      <c r="C49" s="54">
        <v>109</v>
      </c>
      <c r="D49" s="54">
        <v>28</v>
      </c>
      <c r="E49" s="54">
        <v>28</v>
      </c>
      <c r="F49" s="56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  <row r="51" spans="1:9" ht="16">
      <c r="A51" s="71" t="s">
        <v>97</v>
      </c>
      <c r="B51" s="72"/>
      <c r="C51" s="72"/>
      <c r="D51" s="72"/>
      <c r="E51" s="72"/>
      <c r="F51" s="72"/>
      <c r="G51" s="72"/>
      <c r="H51" s="72"/>
      <c r="I51" s="72"/>
    </row>
    <row r="52" spans="1:9" ht="15">
      <c r="A52" s="4" t="s">
        <v>3</v>
      </c>
      <c r="B52" s="5" t="s">
        <v>50</v>
      </c>
      <c r="C52" s="1"/>
      <c r="D52" s="1"/>
      <c r="E52" s="1"/>
      <c r="F52" s="1"/>
      <c r="G52" s="1"/>
      <c r="H52" s="1"/>
      <c r="I52" s="1"/>
    </row>
    <row r="53" spans="1:9" ht="15">
      <c r="A53" s="7" t="s">
        <v>98</v>
      </c>
      <c r="B53" s="11">
        <v>4.92</v>
      </c>
      <c r="C53" s="1"/>
      <c r="D53" s="1"/>
      <c r="E53" s="1"/>
      <c r="F53" s="1"/>
      <c r="G53" s="1"/>
      <c r="H53" s="1"/>
      <c r="I53" s="1"/>
    </row>
    <row r="54" spans="1:9" ht="15">
      <c r="A54" s="7" t="s">
        <v>99</v>
      </c>
      <c r="B54" s="11">
        <v>1</v>
      </c>
      <c r="C54" s="1"/>
      <c r="D54" s="1"/>
      <c r="E54" s="1"/>
      <c r="F54" s="1"/>
      <c r="G54" s="1"/>
      <c r="H54" s="1"/>
      <c r="I54" s="1"/>
    </row>
    <row r="55" spans="1:9" ht="15">
      <c r="A55" s="7" t="s">
        <v>43</v>
      </c>
      <c r="B55" s="11">
        <v>1.5</v>
      </c>
      <c r="C55" s="1"/>
      <c r="D55" s="1"/>
      <c r="E55" s="1"/>
      <c r="F55" s="1"/>
      <c r="G55" s="1"/>
      <c r="H55" s="1"/>
      <c r="I55" s="1"/>
    </row>
  </sheetData>
  <mergeCells count="8">
    <mergeCell ref="A38:I38"/>
    <mergeCell ref="A45:I45"/>
    <mergeCell ref="A51:I51"/>
    <mergeCell ref="A1:I1"/>
    <mergeCell ref="A2:I2"/>
    <mergeCell ref="A4:I4"/>
    <mergeCell ref="A20:I20"/>
    <mergeCell ref="A27:I2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19"/>
  <sheetViews>
    <sheetView workbookViewId="0">
      <selection activeCell="F2" sqref="F2"/>
    </sheetView>
  </sheetViews>
  <sheetFormatPr baseColWidth="10" defaultColWidth="12.6640625" defaultRowHeight="15.75" customHeight="1"/>
  <cols>
    <col min="1" max="1" width="19" customWidth="1"/>
    <col min="2" max="6" width="39" customWidth="1"/>
  </cols>
  <sheetData>
    <row r="1" spans="1:6" ht="41" customHeight="1">
      <c r="A1" s="75" t="s">
        <v>106</v>
      </c>
      <c r="B1" s="76"/>
      <c r="C1" s="76"/>
      <c r="D1" s="76"/>
      <c r="E1" s="76"/>
      <c r="F1" s="76"/>
    </row>
    <row r="2" spans="1:6" ht="27" customHeight="1">
      <c r="A2" s="2" t="s">
        <v>1</v>
      </c>
      <c r="B2" s="3" t="s">
        <v>102</v>
      </c>
      <c r="C2" s="6" t="s">
        <v>103</v>
      </c>
      <c r="D2" s="6" t="s">
        <v>104</v>
      </c>
      <c r="E2" s="6" t="s">
        <v>105</v>
      </c>
      <c r="F2" s="6" t="s">
        <v>100</v>
      </c>
    </row>
    <row r="3" spans="1:6" ht="15.75" customHeight="1">
      <c r="A3" s="9" t="s">
        <v>12</v>
      </c>
      <c r="B3" s="10" t="s">
        <v>13</v>
      </c>
      <c r="C3" s="10" t="s">
        <v>14</v>
      </c>
      <c r="D3" s="10" t="s">
        <v>14</v>
      </c>
      <c r="E3" s="10" t="s">
        <v>14</v>
      </c>
      <c r="F3" s="10" t="s">
        <v>14</v>
      </c>
    </row>
    <row r="4" spans="1:6" ht="15.75" customHeight="1">
      <c r="A4" s="9" t="s">
        <v>15</v>
      </c>
      <c r="B4" s="77" t="s">
        <v>16</v>
      </c>
      <c r="C4" s="77" t="s">
        <v>16</v>
      </c>
      <c r="D4" s="77" t="s">
        <v>16</v>
      </c>
      <c r="E4" s="77" t="s">
        <v>16</v>
      </c>
      <c r="F4" s="77" t="s">
        <v>16</v>
      </c>
    </row>
    <row r="5" spans="1:6" ht="15.75" customHeight="1">
      <c r="A5" s="9" t="s">
        <v>17</v>
      </c>
      <c r="B5" s="72"/>
      <c r="C5" s="72"/>
      <c r="D5" s="72"/>
      <c r="E5" s="72"/>
      <c r="F5" s="72"/>
    </row>
    <row r="6" spans="1:6" ht="15.75" customHeight="1">
      <c r="A6" s="9" t="s">
        <v>18</v>
      </c>
      <c r="B6" s="72"/>
      <c r="C6" s="72"/>
      <c r="D6" s="72"/>
      <c r="E6" s="72"/>
      <c r="F6" s="72"/>
    </row>
    <row r="7" spans="1:6" ht="15.75" customHeight="1">
      <c r="A7" s="9" t="s">
        <v>19</v>
      </c>
      <c r="B7" s="72"/>
      <c r="C7" s="72"/>
      <c r="D7" s="72"/>
      <c r="E7" s="72"/>
      <c r="F7" s="72"/>
    </row>
    <row r="8" spans="1:6" ht="15.75" customHeight="1">
      <c r="A8" s="9" t="s">
        <v>20</v>
      </c>
      <c r="B8" s="12" t="s">
        <v>21</v>
      </c>
      <c r="C8" s="12" t="s">
        <v>21</v>
      </c>
      <c r="D8" s="12" t="s">
        <v>21</v>
      </c>
      <c r="E8" s="12" t="s">
        <v>21</v>
      </c>
      <c r="F8" s="12" t="s">
        <v>21</v>
      </c>
    </row>
    <row r="9" spans="1:6" ht="15.75" customHeight="1">
      <c r="A9" s="9" t="s">
        <v>22</v>
      </c>
      <c r="B9" s="77" t="s">
        <v>16</v>
      </c>
      <c r="C9" s="77" t="s">
        <v>16</v>
      </c>
      <c r="D9" s="77" t="s">
        <v>16</v>
      </c>
      <c r="E9" s="77" t="s">
        <v>16</v>
      </c>
      <c r="F9" s="77" t="s">
        <v>16</v>
      </c>
    </row>
    <row r="10" spans="1:6" ht="15.75" customHeight="1">
      <c r="A10" s="9" t="s">
        <v>23</v>
      </c>
      <c r="B10" s="72"/>
      <c r="C10" s="72"/>
      <c r="D10" s="72"/>
      <c r="E10" s="72"/>
      <c r="F10" s="72"/>
    </row>
    <row r="11" spans="1:6" ht="15.75" customHeight="1">
      <c r="A11" s="9" t="s">
        <v>24</v>
      </c>
      <c r="B11" s="72"/>
      <c r="C11" s="72"/>
      <c r="D11" s="72"/>
      <c r="E11" s="72"/>
      <c r="F11" s="72"/>
    </row>
    <row r="12" spans="1:6" ht="15.75" customHeight="1">
      <c r="A12" s="9" t="s">
        <v>25</v>
      </c>
      <c r="B12" s="78" t="s">
        <v>26</v>
      </c>
      <c r="C12" s="78" t="s">
        <v>26</v>
      </c>
      <c r="D12" s="78" t="s">
        <v>26</v>
      </c>
      <c r="E12" s="78" t="s">
        <v>26</v>
      </c>
      <c r="F12" s="78" t="s">
        <v>26</v>
      </c>
    </row>
    <row r="13" spans="1:6" ht="15.75" customHeight="1">
      <c r="A13" s="9" t="s">
        <v>28</v>
      </c>
      <c r="B13" s="72"/>
      <c r="C13" s="72"/>
      <c r="D13" s="72"/>
      <c r="E13" s="72"/>
      <c r="F13" s="72"/>
    </row>
    <row r="14" spans="1:6" ht="15.75" customHeight="1">
      <c r="A14" s="9" t="s">
        <v>29</v>
      </c>
      <c r="B14" s="77" t="s">
        <v>16</v>
      </c>
      <c r="C14" s="77" t="s">
        <v>16</v>
      </c>
      <c r="D14" s="77" t="s">
        <v>16</v>
      </c>
      <c r="E14" s="77" t="s">
        <v>16</v>
      </c>
      <c r="F14" s="80" t="s">
        <v>30</v>
      </c>
    </row>
    <row r="15" spans="1:6" ht="15.75" customHeight="1">
      <c r="A15" s="9" t="s">
        <v>31</v>
      </c>
      <c r="B15" s="72"/>
      <c r="C15" s="72"/>
      <c r="D15" s="72"/>
      <c r="E15" s="72"/>
      <c r="F15" s="72"/>
    </row>
    <row r="16" spans="1:6" ht="15.75" customHeight="1">
      <c r="A16" s="9" t="s">
        <v>32</v>
      </c>
      <c r="B16" s="12" t="s">
        <v>33</v>
      </c>
      <c r="C16" s="12" t="s">
        <v>33</v>
      </c>
      <c r="D16" s="12" t="s">
        <v>33</v>
      </c>
      <c r="E16" s="12" t="s">
        <v>33</v>
      </c>
      <c r="F16" s="78" t="s">
        <v>33</v>
      </c>
    </row>
    <row r="17" spans="1:6" ht="15.75" customHeight="1">
      <c r="A17" s="9" t="s">
        <v>34</v>
      </c>
      <c r="B17" s="77" t="s">
        <v>16</v>
      </c>
      <c r="C17" s="77" t="s">
        <v>16</v>
      </c>
      <c r="D17" s="77" t="s">
        <v>16</v>
      </c>
      <c r="E17" s="80" t="s">
        <v>30</v>
      </c>
      <c r="F17" s="72"/>
    </row>
    <row r="18" spans="1:6" ht="15.75" customHeight="1">
      <c r="A18" s="9" t="s">
        <v>35</v>
      </c>
      <c r="B18" s="72"/>
      <c r="C18" s="72"/>
      <c r="D18" s="72"/>
      <c r="E18" s="72"/>
      <c r="F18" s="79" t="s">
        <v>36</v>
      </c>
    </row>
    <row r="19" spans="1:6" ht="15.75" customHeight="1">
      <c r="A19" s="9" t="s">
        <v>37</v>
      </c>
      <c r="B19" s="10" t="s">
        <v>36</v>
      </c>
      <c r="C19" s="10" t="s">
        <v>36</v>
      </c>
      <c r="D19" s="10" t="s">
        <v>36</v>
      </c>
      <c r="E19" s="14" t="s">
        <v>38</v>
      </c>
      <c r="F19" s="72"/>
    </row>
  </sheetData>
  <mergeCells count="27">
    <mergeCell ref="F16:F17"/>
    <mergeCell ref="F18:F19"/>
    <mergeCell ref="E9:E11"/>
    <mergeCell ref="F9:F11"/>
    <mergeCell ref="E12:E13"/>
    <mergeCell ref="F12:F13"/>
    <mergeCell ref="E14:E15"/>
    <mergeCell ref="F14:F15"/>
    <mergeCell ref="E17:E18"/>
    <mergeCell ref="B9:B11"/>
    <mergeCell ref="B14:B15"/>
    <mergeCell ref="B17:B18"/>
    <mergeCell ref="C17:C18"/>
    <mergeCell ref="D17:D18"/>
    <mergeCell ref="C9:C11"/>
    <mergeCell ref="D9:D11"/>
    <mergeCell ref="B12:B13"/>
    <mergeCell ref="C12:C13"/>
    <mergeCell ref="D12:D13"/>
    <mergeCell ref="C14:C15"/>
    <mergeCell ref="D14:D15"/>
    <mergeCell ref="A1:F1"/>
    <mergeCell ref="B4:B7"/>
    <mergeCell ref="C4:C7"/>
    <mergeCell ref="D4:D7"/>
    <mergeCell ref="E4:E7"/>
    <mergeCell ref="F4:F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26"/>
  <sheetViews>
    <sheetView workbookViewId="0">
      <selection activeCell="J29" sqref="J29"/>
    </sheetView>
  </sheetViews>
  <sheetFormatPr baseColWidth="10" defaultColWidth="12.6640625" defaultRowHeight="15.75" customHeight="1"/>
  <cols>
    <col min="2" max="2" width="20.83203125" customWidth="1"/>
    <col min="8" max="8" width="6.1640625" customWidth="1"/>
    <col min="10" max="10" width="16.1640625" customWidth="1"/>
    <col min="12" max="12" width="15.33203125" customWidth="1"/>
  </cols>
  <sheetData>
    <row r="1" spans="1:32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>
      <c r="A2" s="35"/>
      <c r="B2" s="36" t="s">
        <v>63</v>
      </c>
      <c r="C2" s="36" t="s">
        <v>64</v>
      </c>
      <c r="D2" s="36" t="s">
        <v>65</v>
      </c>
      <c r="E2" s="36" t="s">
        <v>66</v>
      </c>
      <c r="F2" s="36" t="s">
        <v>67</v>
      </c>
      <c r="G2" s="36" t="s">
        <v>68</v>
      </c>
      <c r="H2" s="36" t="s">
        <v>69</v>
      </c>
      <c r="I2" s="36" t="s">
        <v>70</v>
      </c>
      <c r="J2" s="36" t="s">
        <v>71</v>
      </c>
      <c r="K2" s="36" t="s">
        <v>72</v>
      </c>
      <c r="L2" s="36" t="s">
        <v>73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>
      <c r="A3" s="38">
        <v>1</v>
      </c>
      <c r="B3" s="39"/>
      <c r="C3" s="41"/>
      <c r="D3" s="41"/>
      <c r="E3" s="41"/>
      <c r="F3" s="41"/>
      <c r="G3" s="41"/>
      <c r="H3" s="41"/>
      <c r="I3" s="41"/>
      <c r="J3" s="41" t="s">
        <v>80</v>
      </c>
      <c r="K3" s="48">
        <f>IF(J3=Daten!A10, Daten!B10, IF(J3=Daten!A11, Daten!B11, IF(J3=Daten!A12, Daten!B12, IF(J3=Daten!A13, Daten!B13))))</f>
        <v>10</v>
      </c>
      <c r="L3" s="51">
        <f t="shared" ref="L3:L25" si="0">K3*I3</f>
        <v>0</v>
      </c>
      <c r="M3" s="33"/>
      <c r="N3" s="52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>
      <c r="A4" s="38">
        <v>2</v>
      </c>
      <c r="B4" s="55"/>
      <c r="C4" s="41"/>
      <c r="D4" s="41"/>
      <c r="E4" s="41"/>
      <c r="F4" s="41"/>
      <c r="G4" s="41"/>
      <c r="H4" s="41"/>
      <c r="I4" s="41"/>
      <c r="J4" s="41" t="s">
        <v>80</v>
      </c>
      <c r="K4" s="48">
        <f>IF(J4=Daten!A10, Daten!B10, IF(J4=Daten!A11, Daten!B11, IF(J4=Daten!A12, Daten!B12, IF(J4=Daten!A13, Daten!B13))))</f>
        <v>10</v>
      </c>
      <c r="L4" s="51">
        <f t="shared" si="0"/>
        <v>0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5" spans="1:32">
      <c r="A5" s="38">
        <v>3</v>
      </c>
      <c r="B5" s="57"/>
      <c r="C5" s="58"/>
      <c r="D5" s="58"/>
      <c r="E5" s="58"/>
      <c r="F5" s="58"/>
      <c r="G5" s="58"/>
      <c r="H5" s="58"/>
      <c r="I5" s="58"/>
      <c r="J5" s="58" t="s">
        <v>95</v>
      </c>
      <c r="K5" s="59">
        <f>IF(J5=Daten!A10, Daten!B10, IF(J5=Daten!A11, Daten!B11, IF(J5=Daten!A12, Daten!B12, IF(J5=Daten!A13, Daten!B13))))</f>
        <v>7</v>
      </c>
      <c r="L5" s="60">
        <f t="shared" si="0"/>
        <v>0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>
      <c r="A6" s="38">
        <v>4</v>
      </c>
      <c r="B6" s="61"/>
      <c r="C6" s="41"/>
      <c r="D6" s="41"/>
      <c r="E6" s="41"/>
      <c r="F6" s="41"/>
      <c r="G6" s="41"/>
      <c r="H6" s="41"/>
      <c r="I6" s="41"/>
      <c r="J6" s="41" t="s">
        <v>95</v>
      </c>
      <c r="K6" s="48">
        <f>IF(J6=Daten!A10, Daten!B10, IF(J6=Daten!A11, Daten!B11, IF(J6=Daten!A12, Daten!B12, IF(J6=Daten!A13, Daten!B13))))</f>
        <v>7</v>
      </c>
      <c r="L6" s="51">
        <f t="shared" si="0"/>
        <v>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>
      <c r="A7" s="38">
        <v>5</v>
      </c>
      <c r="B7" s="61"/>
      <c r="C7" s="41"/>
      <c r="D7" s="41"/>
      <c r="E7" s="41"/>
      <c r="F7" s="41"/>
      <c r="G7" s="41"/>
      <c r="H7" s="41"/>
      <c r="I7" s="41"/>
      <c r="J7" s="41" t="s">
        <v>95</v>
      </c>
      <c r="K7" s="48">
        <f>IF(J7=Daten!A10, Daten!B10, IF(J7=Daten!A11, Daten!B11, IF(J7=Daten!A12, Daten!B12, IF(J7=Daten!A13, Daten!B13))))</f>
        <v>7</v>
      </c>
      <c r="L7" s="51">
        <f t="shared" si="0"/>
        <v>0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>
      <c r="A8" s="38">
        <v>6</v>
      </c>
      <c r="B8" s="61"/>
      <c r="C8" s="41"/>
      <c r="D8" s="41"/>
      <c r="E8" s="41"/>
      <c r="F8" s="41"/>
      <c r="G8" s="41"/>
      <c r="H8" s="41"/>
      <c r="I8" s="41"/>
      <c r="J8" s="41" t="s">
        <v>95</v>
      </c>
      <c r="K8" s="48">
        <f>IF(J8=Daten!A10, Daten!B10, IF(J8=Daten!A11, Daten!B11, IF(J8=Daten!A12, Daten!B12, IF(J8=Daten!A13, Daten!B13))))</f>
        <v>7</v>
      </c>
      <c r="L8" s="51">
        <f t="shared" si="0"/>
        <v>0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>
      <c r="A9" s="38">
        <v>7</v>
      </c>
      <c r="B9" s="61"/>
      <c r="C9" s="41"/>
      <c r="D9" s="41"/>
      <c r="E9" s="41"/>
      <c r="F9" s="41"/>
      <c r="G9" s="41"/>
      <c r="H9" s="41"/>
      <c r="I9" s="41"/>
      <c r="J9" s="41" t="s">
        <v>95</v>
      </c>
      <c r="K9" s="48">
        <f>IF(J9=Daten!A10, Daten!B10, IF(J9=Daten!A11, Daten!B11, IF(J9=Daten!A12, Daten!B12, IF(J9=Daten!A13, Daten!B13))))</f>
        <v>7</v>
      </c>
      <c r="L9" s="51">
        <f t="shared" si="0"/>
        <v>0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>
      <c r="A10" s="38">
        <v>8</v>
      </c>
      <c r="B10" s="61"/>
      <c r="C10" s="41"/>
      <c r="D10" s="41"/>
      <c r="E10" s="41"/>
      <c r="F10" s="41"/>
      <c r="G10" s="41"/>
      <c r="H10" s="41"/>
      <c r="I10" s="41"/>
      <c r="J10" s="41" t="s">
        <v>89</v>
      </c>
      <c r="K10" s="48">
        <f>IF(J10=Daten!A10, Daten!B10, IF(J10=Daten!A11, Daten!B11, IF(J10=Daten!A12, Daten!B12, IF(J10=Daten!A13, Daten!B13))))</f>
        <v>5</v>
      </c>
      <c r="L10" s="51">
        <f t="shared" si="0"/>
        <v>0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>
      <c r="A11" s="38">
        <v>9</v>
      </c>
      <c r="B11" s="61"/>
      <c r="C11" s="41"/>
      <c r="D11" s="41"/>
      <c r="E11" s="41"/>
      <c r="F11" s="41"/>
      <c r="G11" s="41"/>
      <c r="H11" s="41"/>
      <c r="I11" s="41"/>
      <c r="J11" s="41" t="s">
        <v>89</v>
      </c>
      <c r="K11" s="48">
        <f>IF(J11=Daten!A10, Daten!B10, IF(J11=Daten!A11, Daten!B11, IF(J11=Daten!A12, Daten!B12, IF(J11=Daten!A13, Daten!B13))))</f>
        <v>5</v>
      </c>
      <c r="L11" s="51">
        <f t="shared" si="0"/>
        <v>0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>
      <c r="A12" s="38">
        <v>10</v>
      </c>
      <c r="B12" s="61"/>
      <c r="C12" s="41"/>
      <c r="D12" s="41"/>
      <c r="E12" s="41"/>
      <c r="F12" s="41"/>
      <c r="G12" s="41"/>
      <c r="H12" s="41"/>
      <c r="I12" s="41"/>
      <c r="J12" s="41" t="s">
        <v>89</v>
      </c>
      <c r="K12" s="48">
        <f>IF(J12=Daten!A10, Daten!B10, IF(J12=Daten!A11, Daten!B11, IF(J12=Daten!A12, Daten!B12, IF(J12=Daten!A13, Daten!B13))))</f>
        <v>5</v>
      </c>
      <c r="L12" s="51">
        <f t="shared" si="0"/>
        <v>0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>
      <c r="A13" s="38">
        <v>11</v>
      </c>
      <c r="B13" s="61"/>
      <c r="C13" s="41"/>
      <c r="D13" s="41"/>
      <c r="E13" s="41"/>
      <c r="F13" s="41"/>
      <c r="G13" s="41"/>
      <c r="H13" s="41"/>
      <c r="I13" s="41"/>
      <c r="J13" s="41" t="s">
        <v>89</v>
      </c>
      <c r="K13" s="48">
        <f>IF(J13=Daten!A10, Daten!B10, IF(J13=Daten!A11, Daten!B11, IF(J13=Daten!A12, Daten!B12, IF(J13=Daten!A13, Daten!B13))))</f>
        <v>5</v>
      </c>
      <c r="L13" s="51">
        <f t="shared" si="0"/>
        <v>0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>
      <c r="A14" s="38">
        <v>12</v>
      </c>
      <c r="B14" s="61"/>
      <c r="C14" s="41"/>
      <c r="D14" s="41"/>
      <c r="E14" s="41"/>
      <c r="F14" s="41"/>
      <c r="G14" s="41"/>
      <c r="H14" s="41"/>
      <c r="I14" s="41"/>
      <c r="J14" s="41" t="s">
        <v>96</v>
      </c>
      <c r="K14" s="48">
        <f>IF(J14=Daten!A10, Daten!B10, IF(J14=Daten!A11, Daten!B11, IF(J14=Daten!A12, Daten!B12, IF(J14=Daten!A13, Daten!B13))))</f>
        <v>8</v>
      </c>
      <c r="L14" s="51">
        <f t="shared" si="0"/>
        <v>0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>
      <c r="A15" s="38">
        <v>13</v>
      </c>
      <c r="B15" s="61"/>
      <c r="C15" s="41"/>
      <c r="D15" s="41"/>
      <c r="E15" s="41"/>
      <c r="F15" s="41"/>
      <c r="G15" s="41"/>
      <c r="H15" s="41"/>
      <c r="I15" s="41"/>
      <c r="J15" s="41" t="s">
        <v>89</v>
      </c>
      <c r="K15" s="48">
        <f>IF(J15=Daten!A10, Daten!B10, IF(J15=Daten!A11, Daten!B11, IF(J15=Daten!A12, Daten!B12, IF(J15=Daten!A13, Daten!B13))))</f>
        <v>5</v>
      </c>
      <c r="L15" s="51">
        <f t="shared" si="0"/>
        <v>0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>
      <c r="A16" s="38">
        <v>14</v>
      </c>
      <c r="B16" s="61"/>
      <c r="C16" s="41"/>
      <c r="D16" s="41"/>
      <c r="E16" s="41"/>
      <c r="F16" s="41"/>
      <c r="G16" s="41"/>
      <c r="H16" s="41"/>
      <c r="I16" s="41"/>
      <c r="J16" s="41" t="s">
        <v>89</v>
      </c>
      <c r="K16" s="48">
        <f>IF(J16=Daten!A10, Daten!B10, IF(J16=Daten!A11, Daten!B11, IF(J16=Daten!A12, Daten!B12, IF(J16=Daten!A13, Daten!B13))))</f>
        <v>5</v>
      </c>
      <c r="L16" s="51">
        <f t="shared" si="0"/>
        <v>0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>
      <c r="A17" s="38">
        <v>15</v>
      </c>
      <c r="B17" s="61"/>
      <c r="C17" s="41"/>
      <c r="D17" s="41"/>
      <c r="E17" s="41"/>
      <c r="F17" s="41"/>
      <c r="G17" s="41"/>
      <c r="H17" s="41"/>
      <c r="I17" s="41"/>
      <c r="J17" s="41" t="s">
        <v>95</v>
      </c>
      <c r="K17" s="48">
        <f>IF(J17=Daten!A10, Daten!B10, IF(J17=Daten!A11, Daten!B11, IF(J17=Daten!A12, Daten!B12, IF(J17=Daten!A13, Daten!B13))))</f>
        <v>7</v>
      </c>
      <c r="L17" s="51">
        <f t="shared" si="0"/>
        <v>0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>
      <c r="A18" s="38">
        <v>16</v>
      </c>
      <c r="B18" s="39"/>
      <c r="C18" s="41"/>
      <c r="D18" s="41"/>
      <c r="E18" s="41"/>
      <c r="F18" s="41"/>
      <c r="G18" s="41"/>
      <c r="H18" s="41"/>
      <c r="I18" s="41"/>
      <c r="J18" s="41" t="s">
        <v>95</v>
      </c>
      <c r="K18" s="48">
        <f>IF(J18=Daten!A10, Daten!B10, IF(J18=Daten!A11, Daten!B11, IF(J18=Daten!A12, Daten!B12, IF(J18=Daten!A13, Daten!B13))))</f>
        <v>7</v>
      </c>
      <c r="L18" s="51">
        <f t="shared" si="0"/>
        <v>0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>
      <c r="A19" s="38">
        <v>17</v>
      </c>
      <c r="B19" s="55"/>
      <c r="C19" s="41"/>
      <c r="D19" s="41"/>
      <c r="E19" s="41"/>
      <c r="F19" s="41"/>
      <c r="G19" s="41"/>
      <c r="H19" s="41"/>
      <c r="I19" s="41"/>
      <c r="J19" s="41" t="s">
        <v>89</v>
      </c>
      <c r="K19" s="48">
        <f>IF(J19=Daten!A10, Daten!B10, IF(J19=Daten!A11, Daten!B11, IF(J19=Daten!A12, Daten!B12, IF(J19=Daten!A13, Daten!B13))))</f>
        <v>5</v>
      </c>
      <c r="L19" s="51">
        <f t="shared" si="0"/>
        <v>0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>
      <c r="A20" s="38">
        <v>18</v>
      </c>
      <c r="B20" s="63"/>
      <c r="C20" s="41"/>
      <c r="D20" s="41"/>
      <c r="E20" s="41"/>
      <c r="F20" s="41"/>
      <c r="G20" s="41"/>
      <c r="H20" s="41"/>
      <c r="I20" s="41"/>
      <c r="J20" s="41" t="s">
        <v>96</v>
      </c>
      <c r="K20" s="48">
        <f>IF(J20=Daten!A10, Daten!B10, IF(J20=Daten!A11, Daten!B11, IF(J20=Daten!A12, Daten!B12, IF(J20=Daten!A13, Daten!B13))))</f>
        <v>8</v>
      </c>
      <c r="L20" s="51">
        <f t="shared" si="0"/>
        <v>0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>
      <c r="A21" s="38">
        <v>19</v>
      </c>
      <c r="B21" s="55"/>
      <c r="C21" s="41"/>
      <c r="D21" s="41"/>
      <c r="E21" s="41"/>
      <c r="F21" s="41"/>
      <c r="G21" s="41"/>
      <c r="H21" s="41"/>
      <c r="I21" s="41"/>
      <c r="J21" s="41" t="s">
        <v>95</v>
      </c>
      <c r="K21" s="48">
        <f>IF(J21=Daten!A10, Daten!B10, IF(J21=Daten!A11, Daten!B11, IF(J21=Daten!A12, Daten!B12, IF(J21=Daten!A13, Daten!B13))))</f>
        <v>7</v>
      </c>
      <c r="L21" s="51">
        <f t="shared" si="0"/>
        <v>0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>
      <c r="A22" s="38">
        <v>20</v>
      </c>
      <c r="B22" s="39"/>
      <c r="C22" s="41"/>
      <c r="D22" s="41"/>
      <c r="E22" s="41"/>
      <c r="F22" s="41"/>
      <c r="G22" s="41"/>
      <c r="H22" s="41"/>
      <c r="I22" s="41"/>
      <c r="J22" s="41" t="s">
        <v>95</v>
      </c>
      <c r="K22" s="48">
        <f>IF(J22=Daten!A10, Daten!B10, IF(J22=Daten!A11, Daten!B11, IF(J22=Daten!A12, Daten!B12, IF(J22=Daten!A13, Daten!B13))))</f>
        <v>7</v>
      </c>
      <c r="L22" s="51">
        <f t="shared" si="0"/>
        <v>0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>
      <c r="A23" s="64">
        <v>21</v>
      </c>
      <c r="B23" s="65"/>
      <c r="C23" s="58"/>
      <c r="D23" s="58"/>
      <c r="E23" s="58"/>
      <c r="F23" s="58"/>
      <c r="G23" s="58"/>
      <c r="H23" s="58"/>
      <c r="I23" s="58"/>
      <c r="J23" s="58" t="s">
        <v>89</v>
      </c>
      <c r="K23" s="66">
        <f>IF(J23=Daten!A10, Daten!B10, IF(J23=Daten!A11, Daten!B11, IF(J23=Daten!A12, Daten!B12, IF(J23=Daten!A13, Daten!B13))))</f>
        <v>5</v>
      </c>
      <c r="L23" s="60">
        <f t="shared" si="0"/>
        <v>0</v>
      </c>
      <c r="M23" s="33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>
      <c r="A24" s="64">
        <v>22</v>
      </c>
      <c r="B24" s="65"/>
      <c r="C24" s="58"/>
      <c r="D24" s="58"/>
      <c r="E24" s="58"/>
      <c r="F24" s="58"/>
      <c r="G24" s="58"/>
      <c r="H24" s="58"/>
      <c r="I24" s="58"/>
      <c r="J24" s="58" t="s">
        <v>89</v>
      </c>
      <c r="K24" s="66">
        <f>IF(J24=Daten!A10, Daten!B10, IF(J24=Daten!A11, Daten!B11, IF(J24=Daten!A12, Daten!B12, IF(J24=Daten!A13, Daten!B13))))</f>
        <v>5</v>
      </c>
      <c r="L24" s="60">
        <f t="shared" si="0"/>
        <v>0</v>
      </c>
      <c r="M24" s="33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>
      <c r="A25" s="38">
        <v>23</v>
      </c>
      <c r="B25" s="39"/>
      <c r="C25" s="41"/>
      <c r="D25" s="41"/>
      <c r="E25" s="41"/>
      <c r="F25" s="41"/>
      <c r="G25" s="41"/>
      <c r="H25" s="41"/>
      <c r="I25" s="41"/>
      <c r="J25" s="41" t="s">
        <v>89</v>
      </c>
      <c r="K25" s="48">
        <f>IF(J25=Daten!A10, Daten!B10, IF(J25=Daten!A11, Daten!B11, IF(J25=Daten!A12, Daten!B12, IF(J25=Daten!A13, Daten!B13))))</f>
        <v>5</v>
      </c>
      <c r="L25" s="51">
        <f t="shared" si="0"/>
        <v>0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>
      <c r="A26" s="33"/>
      <c r="B26" s="33"/>
      <c r="C26" s="33"/>
      <c r="D26" s="33"/>
      <c r="E26" s="33"/>
      <c r="F26" s="33"/>
      <c r="G26" s="33"/>
      <c r="H26" s="33"/>
      <c r="I26" s="67">
        <f>SUM(I3:I25)</f>
        <v>0</v>
      </c>
      <c r="J26" s="33"/>
      <c r="K26" s="68" t="s">
        <v>101</v>
      </c>
      <c r="L26" s="69">
        <f>SUM(L3:L25)</f>
        <v>0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Daten!$A$10:$A$13</xm:f>
          </x14:formula1>
          <xm:sqref>J3:J25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6"/>
  <sheetViews>
    <sheetView workbookViewId="0"/>
  </sheetViews>
  <sheetFormatPr baseColWidth="10" defaultColWidth="12.6640625" defaultRowHeight="15.75" customHeight="1"/>
  <cols>
    <col min="1" max="1" width="17" customWidth="1"/>
  </cols>
  <sheetData>
    <row r="1" spans="1:3" ht="15.75" customHeight="1">
      <c r="A1" s="43" t="s">
        <v>81</v>
      </c>
      <c r="B1" s="33"/>
      <c r="C1" s="33"/>
    </row>
    <row r="2" spans="1:3" ht="15.75" customHeight="1">
      <c r="A2" s="33" t="s">
        <v>82</v>
      </c>
      <c r="B2" s="44"/>
      <c r="C2" s="33"/>
    </row>
    <row r="3" spans="1:3" ht="15.75" customHeight="1">
      <c r="A3" s="33" t="s">
        <v>83</v>
      </c>
      <c r="B3" s="44"/>
      <c r="C3" s="44"/>
    </row>
    <row r="4" spans="1:3" ht="15.75" customHeight="1">
      <c r="A4" s="33" t="s">
        <v>84</v>
      </c>
      <c r="B4" s="44"/>
      <c r="C4" s="44"/>
    </row>
    <row r="5" spans="1:3" ht="15.75" customHeight="1">
      <c r="A5" s="33" t="s">
        <v>85</v>
      </c>
      <c r="B5" s="44"/>
      <c r="C5" s="44"/>
    </row>
    <row r="6" spans="1:3" ht="15.75" customHeight="1">
      <c r="A6" s="33" t="s">
        <v>86</v>
      </c>
      <c r="B6" s="44"/>
      <c r="C6" s="44"/>
    </row>
    <row r="7" spans="1:3" ht="15.75" customHeight="1">
      <c r="A7" s="33" t="s">
        <v>87</v>
      </c>
      <c r="B7" s="44"/>
      <c r="C7" s="44"/>
    </row>
    <row r="9" spans="1:3" ht="15.75" customHeight="1">
      <c r="A9" s="43" t="s">
        <v>88</v>
      </c>
      <c r="B9" s="33"/>
      <c r="C9" s="33"/>
    </row>
    <row r="10" spans="1:3" ht="16">
      <c r="A10" s="47" t="s">
        <v>89</v>
      </c>
      <c r="B10" s="50">
        <v>5</v>
      </c>
      <c r="C10" s="33"/>
    </row>
    <row r="11" spans="1:3" ht="16">
      <c r="A11" s="47" t="s">
        <v>95</v>
      </c>
      <c r="B11" s="50">
        <v>7</v>
      </c>
      <c r="C11" s="33"/>
    </row>
    <row r="12" spans="1:3" ht="16">
      <c r="A12" s="47" t="s">
        <v>96</v>
      </c>
      <c r="B12" s="50">
        <v>8</v>
      </c>
      <c r="C12" s="33"/>
    </row>
    <row r="13" spans="1:3" ht="16">
      <c r="A13" s="47" t="s">
        <v>80</v>
      </c>
      <c r="B13" s="50">
        <v>10</v>
      </c>
      <c r="C13" s="33"/>
    </row>
    <row r="14" spans="1:3" ht="15.75" customHeight="1">
      <c r="A14" s="33"/>
      <c r="B14" s="33"/>
      <c r="C14" s="33"/>
    </row>
    <row r="15" spans="1:3" ht="15.75" customHeight="1">
      <c r="A15" s="33"/>
      <c r="B15" s="33"/>
      <c r="C15" s="33"/>
    </row>
    <row r="16" spans="1:3" ht="15.75" customHeight="1">
      <c r="A16" s="33"/>
      <c r="B16" s="33"/>
      <c r="C16" s="3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Kalkulation</vt:lpstr>
      <vt:lpstr>Zeitplan</vt:lpstr>
      <vt:lpstr>Trainer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Thorben Hischke</cp:lastModifiedBy>
  <dcterms:created xsi:type="dcterms:W3CDTF">2026-08-12T07:10:44Z</dcterms:created>
  <dcterms:modified xsi:type="dcterms:W3CDTF">2026-08-12T07:25:17Z</dcterms:modified>
</cp:coreProperties>
</file>